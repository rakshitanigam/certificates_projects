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36" windowWidth="22980" windowHeight="9552" activeTab="2"/>
  </bookViews>
  <sheets>
    <sheet name="Invoice" sheetId="1" r:id="rId1"/>
    <sheet name="Purchase" sheetId="2" r:id="rId2"/>
    <sheet name="Sale" sheetId="3" r:id="rId3"/>
    <sheet name="Stock" sheetId="4" r:id="rId4"/>
    <sheet name="Sheet5" sheetId="5" r:id="rId5"/>
  </sheets>
  <externalReferences>
    <externalReference r:id="rId6"/>
  </externalReferences>
  <definedNames>
    <definedName name="_xlnm._FilterDatabase" localSheetId="1" hidden="1">Purchase!$B$3:$B$6</definedName>
    <definedName name="_xlnm.Criteria" localSheetId="3">Stock!$H$3:$H$4</definedName>
    <definedName name="_xlnm.Extract" localSheetId="3">Stock!$B$3</definedName>
  </definedNames>
  <calcPr calcId="144525"/>
</workbook>
</file>

<file path=xl/calcChain.xml><?xml version="1.0" encoding="utf-8"?>
<calcChain xmlns="http://schemas.openxmlformats.org/spreadsheetml/2006/main">
  <c r="H9" i="1" l="1"/>
  <c r="K18" i="1" l="1"/>
  <c r="K19" i="1"/>
  <c r="K20" i="1"/>
  <c r="K21" i="1"/>
  <c r="K22" i="1"/>
  <c r="K23" i="1"/>
  <c r="K24" i="1"/>
  <c r="K25" i="1"/>
  <c r="K26" i="1"/>
  <c r="C18" i="1"/>
  <c r="E4" i="4"/>
  <c r="F4" i="4" s="1"/>
  <c r="K17" i="1" s="1"/>
  <c r="E5" i="4"/>
  <c r="F5" i="4" s="1"/>
  <c r="K16" i="1" s="1"/>
  <c r="E6" i="4"/>
  <c r="F6" i="4" s="1"/>
  <c r="E7" i="4"/>
  <c r="F7" i="4" s="1"/>
  <c r="E8" i="4"/>
  <c r="F8" i="4" s="1"/>
  <c r="E9" i="4"/>
  <c r="F9" i="4" s="1"/>
  <c r="E10" i="4"/>
  <c r="F10" i="4" s="1"/>
  <c r="E11" i="4"/>
  <c r="F11" i="4" s="1"/>
  <c r="E12" i="4"/>
  <c r="F12" i="4" s="1"/>
  <c r="E13" i="4"/>
  <c r="F13" i="4" s="1"/>
  <c r="E14" i="4"/>
  <c r="F14" i="4" s="1"/>
  <c r="E15" i="4"/>
  <c r="F15" i="4" s="1"/>
  <c r="E16" i="4"/>
  <c r="F16" i="4" s="1"/>
  <c r="E17" i="4"/>
  <c r="F17" i="4" s="1"/>
  <c r="E18" i="4"/>
  <c r="F18" i="4" s="1"/>
  <c r="E19" i="4"/>
  <c r="F19" i="4" s="1"/>
  <c r="E20" i="4"/>
  <c r="F20" i="4" s="1"/>
  <c r="E21" i="4"/>
  <c r="F21" i="4" s="1"/>
  <c r="E22" i="4"/>
  <c r="F22" i="4" s="1"/>
  <c r="E23" i="4"/>
  <c r="F23" i="4" s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19" i="1"/>
  <c r="C20" i="1"/>
  <c r="C21" i="1"/>
  <c r="C22" i="1"/>
  <c r="C23" i="1"/>
  <c r="C24" i="1"/>
  <c r="C25" i="1"/>
  <c r="C26" i="1"/>
  <c r="F16" i="1"/>
  <c r="H16" i="1" s="1"/>
  <c r="F17" i="1"/>
  <c r="H17" i="1" s="1"/>
  <c r="F18" i="1"/>
  <c r="H18" i="1" s="1"/>
  <c r="F19" i="1"/>
  <c r="F20" i="1"/>
  <c r="F21" i="1"/>
  <c r="H21" i="1" s="1"/>
  <c r="F22" i="1"/>
  <c r="H22" i="1" s="1"/>
  <c r="F23" i="1"/>
  <c r="F24" i="1"/>
  <c r="F25" i="1"/>
  <c r="H25" i="1" s="1"/>
  <c r="F26" i="1"/>
  <c r="H26" i="1" s="1"/>
  <c r="E16" i="1"/>
  <c r="E17" i="1"/>
  <c r="E18" i="1"/>
  <c r="E19" i="1"/>
  <c r="E20" i="1"/>
  <c r="E21" i="1"/>
  <c r="E22" i="1"/>
  <c r="E23" i="1"/>
  <c r="E24" i="1"/>
  <c r="E25" i="1"/>
  <c r="E26" i="1"/>
  <c r="H10" i="1"/>
  <c r="C17" i="1" l="1"/>
  <c r="C16" i="1"/>
  <c r="H24" i="1"/>
  <c r="I24" i="1" s="1"/>
  <c r="H20" i="1"/>
  <c r="I20" i="1" s="1"/>
  <c r="I26" i="1"/>
  <c r="I22" i="1"/>
  <c r="I17" i="1"/>
  <c r="H23" i="1"/>
  <c r="I23" i="1" s="1"/>
  <c r="H19" i="1"/>
  <c r="I19" i="1" s="1"/>
  <c r="I25" i="1"/>
  <c r="I21" i="1"/>
  <c r="I16" i="1"/>
  <c r="I18" i="1"/>
  <c r="I28" i="1" l="1"/>
</calcChain>
</file>

<file path=xl/sharedStrings.xml><?xml version="1.0" encoding="utf-8"?>
<sst xmlns="http://schemas.openxmlformats.org/spreadsheetml/2006/main" count="109" uniqueCount="35">
  <si>
    <t>S.No.</t>
  </si>
  <si>
    <t>Invoice No.</t>
  </si>
  <si>
    <t>HSN</t>
  </si>
  <si>
    <t>Item</t>
  </si>
  <si>
    <t>Rate</t>
  </si>
  <si>
    <t>Qty</t>
  </si>
  <si>
    <t>GST 5%</t>
  </si>
  <si>
    <t>Amount</t>
  </si>
  <si>
    <t>Customer Name</t>
  </si>
  <si>
    <t>Complete Address</t>
  </si>
  <si>
    <t>Phone No.</t>
  </si>
  <si>
    <t>GSTIN</t>
  </si>
  <si>
    <t>Date</t>
  </si>
  <si>
    <t>Company Name</t>
  </si>
  <si>
    <t>Automatic Invoice Generator</t>
  </si>
  <si>
    <t>Customer Detail</t>
  </si>
  <si>
    <t>Subtotal</t>
  </si>
  <si>
    <t>Thank You!</t>
  </si>
  <si>
    <t>Account</t>
  </si>
  <si>
    <t>Customer</t>
  </si>
  <si>
    <t>HSN Code</t>
  </si>
  <si>
    <t>P Rate</t>
  </si>
  <si>
    <t>P Qty</t>
  </si>
  <si>
    <t>Sale Rate</t>
  </si>
  <si>
    <t>H21</t>
  </si>
  <si>
    <t>H22</t>
  </si>
  <si>
    <t>mouse</t>
  </si>
  <si>
    <t>keyboard</t>
  </si>
  <si>
    <t>Invoive No.</t>
  </si>
  <si>
    <t>Purchase Qty</t>
  </si>
  <si>
    <t>Sale Qty</t>
  </si>
  <si>
    <t>In Stock</t>
  </si>
  <si>
    <t>H23</t>
  </si>
  <si>
    <t>monitor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</si>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</sst>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dd\ mmm\ 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3" xfId="0" applyBorder="1" applyAlignment="1">
      <alignment horizontal="right"/>
    </xf>
    <xf numFmtId="0" fontId="4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165" fontId="0" fillId="0" borderId="2" xfId="0" applyNumberFormat="1" applyBorder="1" applyAlignment="1">
      <alignment horizontal="left"/>
    </xf>
    <xf numFmtId="0" fontId="0" fillId="0" borderId="0" xfId="0" applyAlignment="1">
      <alignment horizontal="left" indent="3"/>
    </xf>
    <xf numFmtId="0" fontId="0" fillId="0" borderId="0" xfId="0" applyAlignment="1">
      <alignment horizontal="right" indent="1"/>
    </xf>
    <xf numFmtId="14" fontId="0" fillId="0" borderId="0" xfId="0" applyNumberFormat="1"/>
    <xf numFmtId="0" fontId="0" fillId="4" borderId="0" xfId="0" applyFill="1"/>
    <xf numFmtId="0" fontId="0" fillId="0" borderId="3" xfId="0" applyBorder="1" applyAlignment="1">
      <alignment horizontal="left"/>
    </xf>
    <xf numFmtId="0" fontId="5" fillId="0" borderId="0" xfId="0" applyFont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</xdr:colOff>
      <xdr:row>5</xdr:row>
      <xdr:rowOff>53340</xdr:rowOff>
    </xdr:from>
    <xdr:to>
      <xdr:col>14</xdr:col>
      <xdr:colOff>22860</xdr:colOff>
      <xdr:row>7</xdr:row>
      <xdr:rowOff>60960</xdr:rowOff>
    </xdr:to>
    <xdr:sp macro="[0]!Sale" textlink="">
      <xdr:nvSpPr>
        <xdr:cNvPr id="2" name="Rectangle 1"/>
        <xdr:cNvSpPr/>
      </xdr:nvSpPr>
      <xdr:spPr>
        <a:xfrm>
          <a:off x="7170420" y="967740"/>
          <a:ext cx="2400300" cy="3733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000"/>
            <a:t>Save Invoice Entry</a:t>
          </a:r>
        </a:p>
      </xdr:txBody>
    </xdr:sp>
    <xdr:clientData/>
  </xdr:twoCellAnchor>
  <xdr:twoCellAnchor>
    <xdr:from>
      <xdr:col>10</xdr:col>
      <xdr:colOff>76200</xdr:colOff>
      <xdr:row>8</xdr:row>
      <xdr:rowOff>0</xdr:rowOff>
    </xdr:from>
    <xdr:to>
      <xdr:col>14</xdr:col>
      <xdr:colOff>38100</xdr:colOff>
      <xdr:row>10</xdr:row>
      <xdr:rowOff>7620</xdr:rowOff>
    </xdr:to>
    <xdr:sp macro="[1]!saveinvoice" textlink="">
      <xdr:nvSpPr>
        <xdr:cNvPr id="3" name="Rectangle 2"/>
        <xdr:cNvSpPr/>
      </xdr:nvSpPr>
      <xdr:spPr>
        <a:xfrm>
          <a:off x="7185660" y="1463040"/>
          <a:ext cx="2400300" cy="3733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000"/>
            <a:t>Save &amp;</a:t>
          </a:r>
          <a:r>
            <a:rPr lang="en-IN" sz="2000" baseline="0"/>
            <a:t> Print Invoice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487680</xdr:colOff>
      <xdr:row>0</xdr:row>
      <xdr:rowOff>175260</xdr:rowOff>
    </xdr:from>
    <xdr:to>
      <xdr:col>8</xdr:col>
      <xdr:colOff>91440</xdr:colOff>
      <xdr:row>4</xdr:row>
      <xdr:rowOff>152400</xdr:rowOff>
    </xdr:to>
    <xdr:sp macro="[0]!Ref" textlink="">
      <xdr:nvSpPr>
        <xdr:cNvPr id="3" name="Oval 2"/>
        <xdr:cNvSpPr/>
      </xdr:nvSpPr>
      <xdr:spPr>
        <a:xfrm>
          <a:off x="4770120" y="175260"/>
          <a:ext cx="822960" cy="70866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voi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Purchase"/>
      <sheetName val="VBA"/>
      <sheetName val="Sale"/>
      <sheetName val="Stock"/>
      <sheetName val="Sheet1"/>
    </sheetNames>
    <definedNames>
      <definedName name="saveinvoice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id="1" name="Table1" displayName="Table1" ref="B15:I26" totalsRowShown="0">
  <autoFilter ref="B15:I26"/>
  <tableColumns count="8">
    <tableColumn id="1" name="S.No." dataDxfId="6"/>
    <tableColumn id="2" name="Invoice No." dataDxfId="4">
      <calculatedColumnFormula>IF(Table1[[#This Row],[HSN]]="","",$H$9)</calculatedColumnFormula>
    </tableColumn>
    <tableColumn id="3" name="HSN" dataDxfId="5"/>
    <tableColumn id="4" name="Item" dataDxfId="10">
      <calculatedColumnFormula>IFERROR(VLOOKUP(Table1[[#This Row],[HSN]],Table2[#All],3,0),"")</calculatedColumnFormula>
    </tableColumn>
    <tableColumn id="5" name="Rate" dataDxfId="9">
      <calculatedColumnFormula>IFERROR(VLOOKUP(Table1[[#This Row],[HSN]],Table2[#All],6,0),"")</calculatedColumnFormula>
    </tableColumn>
    <tableColumn id="6" name="Qty"/>
    <tableColumn id="7" name="GST 5%" dataDxfId="8">
      <calculatedColumnFormula>IFERROR(Table1[[#This Row],[Rate]]*Table1[[#This Row],[Qty]]*5%,"")</calculatedColumnFormula>
    </tableColumn>
    <tableColumn id="8" name="Amount" dataDxfId="7">
      <calculatedColumnFormula>IFERROR(Table1[[#This Row],[Rate]]*Table1[[#This Row],[Qty]]+Table1[[#This Row],[GST 5%]],"")</calculatedColumnFormula>
    </tableColumn>
  </tableColumns>
  <tableStyleInfo name="TableStyleMedium15" showFirstColumn="0" showLastColumn="0" showRowStripes="0" showColumnStripes="0"/>
</table>
</file>

<file path=xl/tables/table2.xml><?xml version="1.0" encoding="utf-8"?>
<table xmlns="http://schemas.openxmlformats.org/spreadsheetml/2006/main" id="2" name="Table2" displayName="Table2" ref="B3:G6" totalsRowShown="0">
  <tableColumns count="6">
    <tableColumn id="1" name="HSN Code"/>
    <tableColumn id="2" name="Date" dataDxfId="11"/>
    <tableColumn id="3" name="Item"/>
    <tableColumn id="4" name="P Rate"/>
    <tableColumn id="5" name="P Qty"/>
    <tableColumn id="6" name="Sale Rate"/>
  </tableColumns>
  <tableStyleInfo name="TableStyleLight9" showFirstColumn="0" showLastColumn="0" showRowStripes="0" showColumnStripes="0"/>
</table>
</file>

<file path=xl/tables/table3.xml><?xml version="1.0" encoding="utf-8"?>
<table xmlns="http://schemas.openxmlformats.org/spreadsheetml/2006/main" id="5" name="Table5" displayName="Table5" ref="B3:I24" totalsRowShown="0">
  <autoFilter ref="B3:I24"/>
  <tableColumns count="8">
    <tableColumn id="1" name="S.No."/>
    <tableColumn id="2" name="Invoive No."/>
    <tableColumn id="3" name="HSN"/>
    <tableColumn id="4" name="Item"/>
    <tableColumn id="5" name="Rate"/>
    <tableColumn id="6" name="Qty"/>
    <tableColumn id="7" name="GST 5%"/>
    <tableColumn id="8" name="Amount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id="6" name="Table6" displayName="Table6" ref="B3:F23" totalsRowShown="0">
  <tableColumns count="5">
    <tableColumn id="1" name="HSN Code"/>
    <tableColumn id="2" name="Item" dataDxfId="3">
      <calculatedColumnFormula>IFERROR(VLOOKUP(Table6[[#This Row],[HSN Code]],Table2[#All],3,0),"")</calculatedColumnFormula>
    </tableColumn>
    <tableColumn id="3" name="Purchase Qty" dataDxfId="2">
      <calculatedColumnFormula>SUMIF(Table2[Item],Table6[[#This Row],[Item]],Table2[P Qty])</calculatedColumnFormula>
    </tableColumn>
    <tableColumn id="4" name="Sale Qty" dataDxfId="1">
      <calculatedColumnFormula>SUMIF(Table5[Item],Table6[[#This Row],[Item]],Table5[Qty])</calculatedColumnFormula>
    </tableColumn>
    <tableColumn id="5" name="In Stock" dataDxfId="0">
      <calculatedColumnFormula>Table6[[#This Row],[Purchase Qty]]-Table6[[#This Row],[Sale Qty]]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34"/>
  <sheetViews>
    <sheetView topLeftCell="A3" zoomScaleNormal="100" workbookViewId="0">
      <selection activeCell="D9" sqref="D9:E12"/>
    </sheetView>
  </sheetViews>
  <sheetFormatPr defaultRowHeight="14.4" x14ac:dyDescent="0.3"/>
  <cols>
    <col min="2" max="2" width="10.44140625" customWidth="1"/>
    <col min="3" max="3" width="12.77734375" bestFit="1" customWidth="1"/>
    <col min="4" max="9" width="10.44140625" customWidth="1"/>
  </cols>
  <sheetData>
    <row r="2" spans="2:11" x14ac:dyDescent="0.3">
      <c r="B2" s="8" t="s">
        <v>13</v>
      </c>
      <c r="C2" s="9"/>
      <c r="D2" s="9"/>
      <c r="E2" s="9"/>
      <c r="F2" s="9"/>
      <c r="G2" s="9"/>
      <c r="H2" s="9"/>
      <c r="I2" s="9"/>
    </row>
    <row r="3" spans="2:11" x14ac:dyDescent="0.3">
      <c r="B3" s="9"/>
      <c r="C3" s="9"/>
      <c r="D3" s="9"/>
      <c r="E3" s="9"/>
      <c r="F3" s="9"/>
      <c r="G3" s="9"/>
      <c r="H3" s="9"/>
      <c r="I3" s="9"/>
    </row>
    <row r="4" spans="2:11" x14ac:dyDescent="0.3">
      <c r="B4" s="3" t="s">
        <v>14</v>
      </c>
      <c r="C4" s="3"/>
      <c r="D4" s="3"/>
      <c r="E4" s="3"/>
      <c r="F4" s="3"/>
      <c r="G4" s="3"/>
      <c r="H4" s="3"/>
      <c r="I4" s="3"/>
    </row>
    <row r="6" spans="2:11" x14ac:dyDescent="0.3">
      <c r="B6" s="7" t="s">
        <v>15</v>
      </c>
      <c r="C6" s="7"/>
      <c r="D6" s="7"/>
      <c r="E6" s="7"/>
      <c r="F6" s="7"/>
      <c r="G6" s="7"/>
      <c r="H6" s="7"/>
      <c r="I6" s="7"/>
    </row>
    <row r="9" spans="2:11" x14ac:dyDescent="0.3">
      <c r="B9" s="6" t="s">
        <v>8</v>
      </c>
      <c r="C9" s="6"/>
      <c r="D9" s="5"/>
      <c r="E9" s="5"/>
      <c r="G9" s="15" t="s">
        <v>1</v>
      </c>
      <c r="H9" s="18">
        <f>MAX((Sale!C4:C24))+1</f>
        <v>3</v>
      </c>
      <c r="I9" s="18"/>
    </row>
    <row r="10" spans="2:11" x14ac:dyDescent="0.3">
      <c r="B10" s="6" t="s">
        <v>9</v>
      </c>
      <c r="C10" s="6"/>
      <c r="D10" s="4"/>
      <c r="E10" s="4"/>
      <c r="G10" s="14" t="s">
        <v>12</v>
      </c>
      <c r="H10" s="13">
        <f ca="1">TODAY()</f>
        <v>44985</v>
      </c>
      <c r="I10" s="13"/>
    </row>
    <row r="11" spans="2:11" x14ac:dyDescent="0.3">
      <c r="B11" s="6" t="s">
        <v>10</v>
      </c>
      <c r="C11" s="6"/>
      <c r="D11" s="4"/>
      <c r="E11" s="4"/>
    </row>
    <row r="12" spans="2:11" x14ac:dyDescent="0.3">
      <c r="B12" s="6" t="s">
        <v>11</v>
      </c>
      <c r="C12" s="6"/>
      <c r="D12" s="4"/>
      <c r="E12" s="4"/>
    </row>
    <row r="15" spans="2:11" x14ac:dyDescent="0.3">
      <c r="B15" t="s">
        <v>0</v>
      </c>
      <c r="C15" t="s">
        <v>1</v>
      </c>
      <c r="D15" t="s">
        <v>2</v>
      </c>
      <c r="E15" t="s">
        <v>3</v>
      </c>
      <c r="F15" t="s">
        <v>4</v>
      </c>
      <c r="G15" t="s">
        <v>5</v>
      </c>
      <c r="H15" t="s">
        <v>6</v>
      </c>
      <c r="I15" t="s">
        <v>7</v>
      </c>
    </row>
    <row r="16" spans="2:11" x14ac:dyDescent="0.3">
      <c r="B16" s="2"/>
      <c r="C16" s="2" t="str">
        <f>IF(Table1[[#This Row],[HSN]]="","",$H$9)</f>
        <v/>
      </c>
      <c r="D16" s="17"/>
      <c r="E16" t="str">
        <f>IFERROR(VLOOKUP(Table1[[#This Row],[HSN]],Table2[#All],3,0),"")</f>
        <v/>
      </c>
      <c r="F16" t="str">
        <f>IFERROR(VLOOKUP(Table1[[#This Row],[HSN]],Table2[#All],6,0),"")</f>
        <v/>
      </c>
      <c r="H16" t="str">
        <f>IFERROR(Table1[[#This Row],[Rate]]*Table1[[#This Row],[Qty]]*5%,"")</f>
        <v/>
      </c>
      <c r="I16" t="str">
        <f>IFERROR(Table1[[#This Row],[Rate]]*Table1[[#This Row],[Qty]]+Table1[[#This Row],[GST 5%]],"")</f>
        <v/>
      </c>
      <c r="K16" s="19" t="str">
        <f>IFERROR(IF(VLOOKUP(Table1[[#This Row],[HSN]],Table6[#All],5,0)&lt;Table1[[#This Row],[Qty]],"Stock Not Available ! Only " &amp;VLOOKUP(Table1[[#This Row],[HSN]],Table6[#All],5,0)&amp;" Qty Available",""),"")</f>
        <v/>
      </c>
    </row>
    <row r="17" spans="2:11" x14ac:dyDescent="0.3">
      <c r="B17" s="2"/>
      <c r="C17" s="2" t="str">
        <f>IF(Table1[[#This Row],[HSN]]="","",$H$9)</f>
        <v/>
      </c>
      <c r="D17" s="17"/>
      <c r="E17" t="str">
        <f>IFERROR(VLOOKUP(Table1[[#This Row],[HSN]],Table2[#All],3,0),"")</f>
        <v/>
      </c>
      <c r="F17" t="str">
        <f>IFERROR(VLOOKUP(Table1[[#This Row],[HSN]],Table2[#All],6,0),"")</f>
        <v/>
      </c>
      <c r="H17" t="str">
        <f>IFERROR(Table1[[#This Row],[Rate]]*Table1[[#This Row],[Qty]]*5%,"")</f>
        <v/>
      </c>
      <c r="I17" t="str">
        <f>IFERROR(Table1[[#This Row],[Rate]]*Table1[[#This Row],[Qty]]+Table1[[#This Row],[GST 5%]],"")</f>
        <v/>
      </c>
      <c r="K17" s="19" t="str">
        <f>IFERROR(IF(VLOOKUP(Table1[[#This Row],[HSN]],Table6[#All],5,0)&lt;Table1[[#This Row],[Qty]],"Stock Not Available ! Only " &amp;VLOOKUP(Table1[[#This Row],[HSN]],Table6[#All],5,0)&amp;" Qty Available",""),"")</f>
        <v/>
      </c>
    </row>
    <row r="18" spans="2:11" x14ac:dyDescent="0.3">
      <c r="B18" s="2"/>
      <c r="C18" s="2" t="str">
        <f>IF(Table1[[#This Row],[HSN]]="","",$H$9)</f>
        <v/>
      </c>
      <c r="D18" s="17"/>
      <c r="E18" t="str">
        <f>IFERROR(VLOOKUP(Table1[[#This Row],[HSN]],Table2[#All],3,0),"")</f>
        <v/>
      </c>
      <c r="F18" t="str">
        <f>IFERROR(VLOOKUP(Table1[[#This Row],[HSN]],Table2[#All],6,0),"")</f>
        <v/>
      </c>
      <c r="H18" t="str">
        <f>IFERROR(Table1[[#This Row],[Rate]]*Table1[[#This Row],[Qty]]*5%,"")</f>
        <v/>
      </c>
      <c r="I18" t="str">
        <f>IFERROR(Table1[[#This Row],[Rate]]*Table1[[#This Row],[Qty]]+Table1[[#This Row],[GST 5%]],"")</f>
        <v/>
      </c>
      <c r="K18" t="str">
        <f>IFERROR(IF(VLOOKUP(Table1[[#This Row],[HSN]],Table6[#All],5,0)&lt;Table1[[#This Row],[Qty]],"Stock Not Available ! Only " &amp;VLOOKUP(Table1[[#This Row],[HSN]],Table6[#All],5,0)&amp;" Qty Available",""),"")</f>
        <v/>
      </c>
    </row>
    <row r="19" spans="2:11" x14ac:dyDescent="0.3">
      <c r="B19" s="2"/>
      <c r="C19" s="2" t="str">
        <f>IF(Table1[[#This Row],[HSN]]="","",$H$9)</f>
        <v/>
      </c>
      <c r="D19" s="17"/>
      <c r="E19" t="str">
        <f>IFERROR(VLOOKUP(Table1[[#This Row],[HSN]],Table2[#All],3,0),"")</f>
        <v/>
      </c>
      <c r="F19" t="str">
        <f>IFERROR(VLOOKUP(Table1[[#This Row],[HSN]],Table2[#All],6,0),"")</f>
        <v/>
      </c>
      <c r="H19" t="str">
        <f>IFERROR(Table1[[#This Row],[Rate]]*Table1[[#This Row],[Qty]]*5%,"")</f>
        <v/>
      </c>
      <c r="I19" t="str">
        <f>IFERROR(Table1[[#This Row],[Rate]]*Table1[[#This Row],[Qty]]+Table1[[#This Row],[GST 5%]],"")</f>
        <v/>
      </c>
      <c r="K19" t="str">
        <f>IFERROR(IF(VLOOKUP(Table1[[#This Row],[HSN]],Table6[#All],5,0)&lt;Table1[[#This Row],[Qty]],"Stock Not Available ! Only " &amp;VLOOKUP(Table1[[#This Row],[HSN]],Table6[#All],5,0)&amp;" Qty Available",""),"")</f>
        <v/>
      </c>
    </row>
    <row r="20" spans="2:11" x14ac:dyDescent="0.3">
      <c r="B20" s="2"/>
      <c r="C20" s="2" t="str">
        <f>IF(Table1[[#This Row],[HSN]]="","",$H$9)</f>
        <v/>
      </c>
      <c r="D20" s="17"/>
      <c r="E20" t="str">
        <f>IFERROR(VLOOKUP(Table1[[#This Row],[HSN]],Table2[#All],3,0),"")</f>
        <v/>
      </c>
      <c r="F20" t="str">
        <f>IFERROR(VLOOKUP(Table1[[#This Row],[HSN]],Table2[#All],6,0),"")</f>
        <v/>
      </c>
      <c r="H20" t="str">
        <f>IFERROR(Table1[[#This Row],[Rate]]*Table1[[#This Row],[Qty]]*5%,"")</f>
        <v/>
      </c>
      <c r="I20" t="str">
        <f>IFERROR(Table1[[#This Row],[Rate]]*Table1[[#This Row],[Qty]]+Table1[[#This Row],[GST 5%]],"")</f>
        <v/>
      </c>
      <c r="K20" t="str">
        <f>IFERROR(IF(VLOOKUP(Table1[[#This Row],[HSN]],Table6[#All],5,0)&lt;Table1[[#This Row],[Qty]],"Stock Not Available ! Only " &amp;VLOOKUP(Table1[[#This Row],[HSN]],Table6[#All],5,0)&amp;" Qty Available",""),"")</f>
        <v/>
      </c>
    </row>
    <row r="21" spans="2:11" x14ac:dyDescent="0.3">
      <c r="B21" s="2"/>
      <c r="C21" s="2" t="str">
        <f>IF(Table1[[#This Row],[HSN]]="","",$H$9)</f>
        <v/>
      </c>
      <c r="D21" s="17"/>
      <c r="E21" t="str">
        <f>IFERROR(VLOOKUP(Table1[[#This Row],[HSN]],Table2[#All],3,0),"")</f>
        <v/>
      </c>
      <c r="F21" t="str">
        <f>IFERROR(VLOOKUP(Table1[[#This Row],[HSN]],Table2[#All],6,0),"")</f>
        <v/>
      </c>
      <c r="H21" t="str">
        <f>IFERROR(Table1[[#This Row],[Rate]]*Table1[[#This Row],[Qty]]*5%,"")</f>
        <v/>
      </c>
      <c r="I21" t="str">
        <f>IFERROR(Table1[[#This Row],[Rate]]*Table1[[#This Row],[Qty]]+Table1[[#This Row],[GST 5%]],"")</f>
        <v/>
      </c>
      <c r="K21" t="str">
        <f>IFERROR(IF(VLOOKUP(Table1[[#This Row],[HSN]],Table6[#All],5,0)&lt;Table1[[#This Row],[Qty]],"Stock Not Available ! Only " &amp;VLOOKUP(Table1[[#This Row],[HSN]],Table6[#All],5,0)&amp;" Qty Available",""),"")</f>
        <v/>
      </c>
    </row>
    <row r="22" spans="2:11" x14ac:dyDescent="0.3">
      <c r="B22" s="2"/>
      <c r="C22" s="2" t="str">
        <f>IF(Table1[[#This Row],[HSN]]="","",$H$9)</f>
        <v/>
      </c>
      <c r="D22" s="17"/>
      <c r="E22" t="str">
        <f>IFERROR(VLOOKUP(Table1[[#This Row],[HSN]],Table2[#All],3,0),"")</f>
        <v/>
      </c>
      <c r="F22" t="str">
        <f>IFERROR(VLOOKUP(Table1[[#This Row],[HSN]],Table2[#All],6,0),"")</f>
        <v/>
      </c>
      <c r="H22" t="str">
        <f>IFERROR(Table1[[#This Row],[Rate]]*Table1[[#This Row],[Qty]]*5%,"")</f>
        <v/>
      </c>
      <c r="I22" t="str">
        <f>IFERROR(Table1[[#This Row],[Rate]]*Table1[[#This Row],[Qty]]+Table1[[#This Row],[GST 5%]],"")</f>
        <v/>
      </c>
      <c r="K22" t="str">
        <f>IFERROR(IF(VLOOKUP(Table1[[#This Row],[HSN]],Table6[#All],5,0)&lt;Table1[[#This Row],[Qty]],"Stock Not Available ! Only " &amp;VLOOKUP(Table1[[#This Row],[HSN]],Table6[#All],5,0)&amp;" Qty Available",""),"")</f>
        <v/>
      </c>
    </row>
    <row r="23" spans="2:11" x14ac:dyDescent="0.3">
      <c r="B23" s="2"/>
      <c r="C23" s="2" t="str">
        <f>IF(Table1[[#This Row],[HSN]]="","",$H$9)</f>
        <v/>
      </c>
      <c r="D23" s="17"/>
      <c r="E23" t="str">
        <f>IFERROR(VLOOKUP(Table1[[#This Row],[HSN]],Table2[#All],3,0),"")</f>
        <v/>
      </c>
      <c r="F23" t="str">
        <f>IFERROR(VLOOKUP(Table1[[#This Row],[HSN]],Table2[#All],6,0),"")</f>
        <v/>
      </c>
      <c r="H23" t="str">
        <f>IFERROR(Table1[[#This Row],[Rate]]*Table1[[#This Row],[Qty]]*5%,"")</f>
        <v/>
      </c>
      <c r="I23" t="str">
        <f>IFERROR(Table1[[#This Row],[Rate]]*Table1[[#This Row],[Qty]]+Table1[[#This Row],[GST 5%]],"")</f>
        <v/>
      </c>
      <c r="K23" t="str">
        <f>IFERROR(IF(VLOOKUP(Table1[[#This Row],[HSN]],Table6[#All],5,0)&lt;Table1[[#This Row],[Qty]],"Stock Not Available ! Only " &amp;VLOOKUP(Table1[[#This Row],[HSN]],Table6[#All],5,0)&amp;" Qty Available",""),"")</f>
        <v/>
      </c>
    </row>
    <row r="24" spans="2:11" x14ac:dyDescent="0.3">
      <c r="B24" s="2"/>
      <c r="C24" s="2" t="str">
        <f>IF(Table1[[#This Row],[HSN]]="","",$H$9)</f>
        <v/>
      </c>
      <c r="D24" s="17"/>
      <c r="E24" t="str">
        <f>IFERROR(VLOOKUP(Table1[[#This Row],[HSN]],Table2[#All],3,0),"")</f>
        <v/>
      </c>
      <c r="F24" t="str">
        <f>IFERROR(VLOOKUP(Table1[[#This Row],[HSN]],Table2[#All],6,0),"")</f>
        <v/>
      </c>
      <c r="H24" t="str">
        <f>IFERROR(Table1[[#This Row],[Rate]]*Table1[[#This Row],[Qty]]*5%,"")</f>
        <v/>
      </c>
      <c r="I24" t="str">
        <f>IFERROR(Table1[[#This Row],[Rate]]*Table1[[#This Row],[Qty]]+Table1[[#This Row],[GST 5%]],"")</f>
        <v/>
      </c>
      <c r="K24" t="str">
        <f>IFERROR(IF(VLOOKUP(Table1[[#This Row],[HSN]],Table6[#All],5,0)&lt;Table1[[#This Row],[Qty]],"Stock Not Available ! Only " &amp;VLOOKUP(Table1[[#This Row],[HSN]],Table6[#All],5,0)&amp;" Qty Available",""),"")</f>
        <v/>
      </c>
    </row>
    <row r="25" spans="2:11" x14ac:dyDescent="0.3">
      <c r="B25" s="2"/>
      <c r="C25" s="2" t="str">
        <f>IF(Table1[[#This Row],[HSN]]="","",$H$9)</f>
        <v/>
      </c>
      <c r="D25" s="17"/>
      <c r="E25" t="str">
        <f>IFERROR(VLOOKUP(Table1[[#This Row],[HSN]],Table2[#All],3,0),"")</f>
        <v/>
      </c>
      <c r="F25" t="str">
        <f>IFERROR(VLOOKUP(Table1[[#This Row],[HSN]],Table2[#All],6,0),"")</f>
        <v/>
      </c>
      <c r="H25" t="str">
        <f>IFERROR(Table1[[#This Row],[Rate]]*Table1[[#This Row],[Qty]]*5%,"")</f>
        <v/>
      </c>
      <c r="I25" t="str">
        <f>IFERROR(Table1[[#This Row],[Rate]]*Table1[[#This Row],[Qty]]+Table1[[#This Row],[GST 5%]],"")</f>
        <v/>
      </c>
      <c r="K25" t="str">
        <f>IFERROR(IF(VLOOKUP(Table1[[#This Row],[HSN]],Table6[#All],5,0)&lt;Table1[[#This Row],[Qty]],"Stock Not Available ! Only " &amp;VLOOKUP(Table1[[#This Row],[HSN]],Table6[#All],5,0)&amp;" Qty Available",""),"")</f>
        <v/>
      </c>
    </row>
    <row r="26" spans="2:11" x14ac:dyDescent="0.3">
      <c r="B26" s="2"/>
      <c r="C26" s="2" t="str">
        <f>IF(Table1[[#This Row],[HSN]]="","",$H$9)</f>
        <v/>
      </c>
      <c r="D26" s="17"/>
      <c r="E26" t="str">
        <f>IFERROR(VLOOKUP(Table1[[#This Row],[HSN]],Table2[#All],3,0),"")</f>
        <v/>
      </c>
      <c r="F26" t="str">
        <f>IFERROR(VLOOKUP(Table1[[#This Row],[HSN]],Table2[#All],6,0),"")</f>
        <v/>
      </c>
      <c r="H26" t="str">
        <f>IFERROR(Table1[[#This Row],[Rate]]*Table1[[#This Row],[Qty]]*5%,"")</f>
        <v/>
      </c>
      <c r="I26" t="str">
        <f>IFERROR(Table1[[#This Row],[Rate]]*Table1[[#This Row],[Qty]]+Table1[[#This Row],[GST 5%]],"")</f>
        <v/>
      </c>
      <c r="K26" t="str">
        <f>IFERROR(IF(VLOOKUP(Table1[[#This Row],[HSN]],Table6[#All],5,0)&lt;Table1[[#This Row],[Qty]],"Stock Not Available ! Only " &amp;VLOOKUP(Table1[[#This Row],[HSN]],Table6[#All],5,0)&amp;" Qty Available",""),"")</f>
        <v/>
      </c>
    </row>
    <row r="28" spans="2:11" x14ac:dyDescent="0.3">
      <c r="G28" s="6" t="s">
        <v>16</v>
      </c>
      <c r="H28" s="6"/>
      <c r="I28" s="10">
        <f>SUM(Table1[Amount])</f>
        <v>0</v>
      </c>
    </row>
    <row r="30" spans="2:11" x14ac:dyDescent="0.3">
      <c r="B30" s="12"/>
      <c r="C30" s="12"/>
      <c r="H30" s="12"/>
      <c r="I30" s="12"/>
    </row>
    <row r="31" spans="2:11" x14ac:dyDescent="0.3">
      <c r="B31" s="3" t="s">
        <v>19</v>
      </c>
      <c r="C31" s="3"/>
      <c r="H31" s="3" t="s">
        <v>18</v>
      </c>
      <c r="I31" s="3"/>
    </row>
    <row r="33" spans="2:9" x14ac:dyDescent="0.3">
      <c r="B33" s="11" t="s">
        <v>17</v>
      </c>
      <c r="C33" s="11"/>
      <c r="D33" s="11"/>
      <c r="E33" s="11"/>
      <c r="F33" s="11"/>
      <c r="G33" s="11"/>
      <c r="H33" s="11"/>
      <c r="I33" s="11"/>
    </row>
    <row r="34" spans="2:9" x14ac:dyDescent="0.3">
      <c r="B34" s="11"/>
      <c r="C34" s="11"/>
      <c r="D34" s="11"/>
      <c r="E34" s="11"/>
      <c r="F34" s="11"/>
      <c r="G34" s="11"/>
      <c r="H34" s="11"/>
      <c r="I34" s="11"/>
    </row>
  </sheetData>
  <mergeCells count="19">
    <mergeCell ref="G28:H28"/>
    <mergeCell ref="B33:I34"/>
    <mergeCell ref="H30:I30"/>
    <mergeCell ref="H31:I31"/>
    <mergeCell ref="B30:C30"/>
    <mergeCell ref="B31:C31"/>
    <mergeCell ref="H9:I9"/>
    <mergeCell ref="H10:I10"/>
    <mergeCell ref="B2:I3"/>
    <mergeCell ref="B4:I4"/>
    <mergeCell ref="B6:I6"/>
    <mergeCell ref="B9:C9"/>
    <mergeCell ref="B10:C10"/>
    <mergeCell ref="B11:C11"/>
    <mergeCell ref="B12:C12"/>
    <mergeCell ref="D9:E9"/>
    <mergeCell ref="D10:E10"/>
    <mergeCell ref="D11:E11"/>
    <mergeCell ref="D12:E1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G6"/>
  <sheetViews>
    <sheetView workbookViewId="0">
      <selection activeCell="D7" sqref="D7"/>
    </sheetView>
  </sheetViews>
  <sheetFormatPr defaultRowHeight="14.4" x14ac:dyDescent="0.3"/>
  <cols>
    <col min="2" max="2" width="11.21875" customWidth="1"/>
    <col min="3" max="3" width="10.33203125" bestFit="1" customWidth="1"/>
    <col min="7" max="7" width="10.5546875" customWidth="1"/>
  </cols>
  <sheetData>
    <row r="3" spans="2:7" x14ac:dyDescent="0.3">
      <c r="B3" t="s">
        <v>20</v>
      </c>
      <c r="C3" t="s">
        <v>12</v>
      </c>
      <c r="D3" t="s">
        <v>3</v>
      </c>
      <c r="E3" t="s">
        <v>21</v>
      </c>
      <c r="F3" t="s">
        <v>22</v>
      </c>
      <c r="G3" t="s">
        <v>23</v>
      </c>
    </row>
    <row r="4" spans="2:7" x14ac:dyDescent="0.3">
      <c r="B4" t="s">
        <v>24</v>
      </c>
      <c r="C4" s="16">
        <v>44197</v>
      </c>
      <c r="D4" t="s">
        <v>26</v>
      </c>
      <c r="E4">
        <v>120</v>
      </c>
      <c r="F4">
        <v>20</v>
      </c>
      <c r="G4">
        <v>170</v>
      </c>
    </row>
    <row r="5" spans="2:7" x14ac:dyDescent="0.3">
      <c r="B5" t="s">
        <v>25</v>
      </c>
      <c r="C5" s="16">
        <v>44198</v>
      </c>
      <c r="D5" t="s">
        <v>27</v>
      </c>
      <c r="E5">
        <v>120</v>
      </c>
      <c r="F5">
        <v>20</v>
      </c>
      <c r="G5">
        <v>170</v>
      </c>
    </row>
    <row r="6" spans="2:7" x14ac:dyDescent="0.3">
      <c r="B6" t="s">
        <v>32</v>
      </c>
      <c r="C6" s="16">
        <v>44198</v>
      </c>
      <c r="D6" t="s">
        <v>33</v>
      </c>
      <c r="E6">
        <v>1100</v>
      </c>
      <c r="F6">
        <v>10</v>
      </c>
      <c r="G6">
        <v>1200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I21"/>
  <sheetViews>
    <sheetView tabSelected="1" workbookViewId="0">
      <selection activeCell="B4" sqref="B4"/>
    </sheetView>
  </sheetViews>
  <sheetFormatPr defaultRowHeight="14.4" x14ac:dyDescent="0.3"/>
  <cols>
    <col min="3" max="3" width="12.5546875" customWidth="1"/>
    <col min="8" max="8" width="9" customWidth="1"/>
    <col min="9" max="9" width="9.77734375" customWidth="1"/>
  </cols>
  <sheetData>
    <row r="3" spans="2:9" x14ac:dyDescent="0.3">
      <c r="B3" t="s">
        <v>0</v>
      </c>
      <c r="C3" t="s">
        <v>28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</row>
    <row r="4" spans="2:9" x14ac:dyDescent="0.3">
      <c r="B4">
        <v>1</v>
      </c>
      <c r="C4">
        <v>2</v>
      </c>
      <c r="D4" t="s">
        <v>25</v>
      </c>
      <c r="E4" t="s">
        <v>27</v>
      </c>
      <c r="F4">
        <v>170</v>
      </c>
      <c r="G4">
        <v>44</v>
      </c>
      <c r="H4">
        <v>374</v>
      </c>
      <c r="I4">
        <v>7854</v>
      </c>
    </row>
    <row r="5" spans="2:9" x14ac:dyDescent="0.3">
      <c r="B5">
        <v>2</v>
      </c>
      <c r="C5">
        <v>2</v>
      </c>
      <c r="D5" t="s">
        <v>24</v>
      </c>
      <c r="E5" t="s">
        <v>26</v>
      </c>
      <c r="F5">
        <v>170</v>
      </c>
      <c r="G5">
        <v>23</v>
      </c>
      <c r="H5">
        <v>195.5</v>
      </c>
      <c r="I5">
        <v>4105.5</v>
      </c>
    </row>
    <row r="6" spans="2:9" x14ac:dyDescent="0.3">
      <c r="B6">
        <v>1</v>
      </c>
      <c r="C6">
        <v>1</v>
      </c>
      <c r="D6" t="s">
        <v>24</v>
      </c>
      <c r="E6" t="s">
        <v>26</v>
      </c>
      <c r="F6">
        <v>170</v>
      </c>
      <c r="G6">
        <v>3</v>
      </c>
      <c r="H6">
        <v>25.5</v>
      </c>
      <c r="I6">
        <v>535.5</v>
      </c>
    </row>
    <row r="7" spans="2:9" x14ac:dyDescent="0.3">
      <c r="B7">
        <v>2</v>
      </c>
      <c r="C7">
        <v>1</v>
      </c>
      <c r="D7" t="s">
        <v>25</v>
      </c>
      <c r="E7" t="s">
        <v>27</v>
      </c>
      <c r="F7">
        <v>170</v>
      </c>
      <c r="G7">
        <v>2</v>
      </c>
      <c r="H7">
        <v>17</v>
      </c>
      <c r="I7">
        <v>357</v>
      </c>
    </row>
    <row r="13" spans="2:9" x14ac:dyDescent="0.3">
      <c r="C13" t="s">
        <v>34</v>
      </c>
      <c r="E13" t="s">
        <v>34</v>
      </c>
      <c r="F13" t="s">
        <v>34</v>
      </c>
      <c r="H13" t="s">
        <v>34</v>
      </c>
      <c r="I13" t="s">
        <v>34</v>
      </c>
    </row>
    <row r="14" spans="2:9" x14ac:dyDescent="0.3">
      <c r="C14" t="s">
        <v>34</v>
      </c>
      <c r="E14" t="s">
        <v>34</v>
      </c>
      <c r="F14" t="s">
        <v>34</v>
      </c>
      <c r="H14" t="s">
        <v>34</v>
      </c>
      <c r="I14" t="s">
        <v>34</v>
      </c>
    </row>
    <row r="15" spans="2:9" x14ac:dyDescent="0.3">
      <c r="C15" t="s">
        <v>34</v>
      </c>
      <c r="E15" t="s">
        <v>34</v>
      </c>
      <c r="F15" t="s">
        <v>34</v>
      </c>
      <c r="H15" t="s">
        <v>34</v>
      </c>
      <c r="I15" t="s">
        <v>34</v>
      </c>
    </row>
    <row r="16" spans="2:9" x14ac:dyDescent="0.3">
      <c r="C16" t="s">
        <v>34</v>
      </c>
      <c r="E16" t="s">
        <v>34</v>
      </c>
      <c r="F16" t="s">
        <v>34</v>
      </c>
      <c r="H16" t="s">
        <v>34</v>
      </c>
      <c r="I16" t="s">
        <v>34</v>
      </c>
    </row>
    <row r="17" spans="3:9" x14ac:dyDescent="0.3">
      <c r="C17" t="s">
        <v>34</v>
      </c>
      <c r="E17" t="s">
        <v>34</v>
      </c>
      <c r="F17" t="s">
        <v>34</v>
      </c>
      <c r="H17" t="s">
        <v>34</v>
      </c>
      <c r="I17" t="s">
        <v>34</v>
      </c>
    </row>
    <row r="18" spans="3:9" x14ac:dyDescent="0.3">
      <c r="C18" t="s">
        <v>34</v>
      </c>
      <c r="E18" t="s">
        <v>34</v>
      </c>
      <c r="F18" t="s">
        <v>34</v>
      </c>
      <c r="H18" t="s">
        <v>34</v>
      </c>
      <c r="I18" t="s">
        <v>34</v>
      </c>
    </row>
    <row r="19" spans="3:9" x14ac:dyDescent="0.3">
      <c r="C19" t="s">
        <v>34</v>
      </c>
      <c r="E19" t="s">
        <v>34</v>
      </c>
      <c r="F19" t="s">
        <v>34</v>
      </c>
      <c r="H19" t="s">
        <v>34</v>
      </c>
      <c r="I19" t="s">
        <v>34</v>
      </c>
    </row>
    <row r="20" spans="3:9" x14ac:dyDescent="0.3">
      <c r="C20" t="s">
        <v>34</v>
      </c>
      <c r="E20" t="s">
        <v>34</v>
      </c>
      <c r="F20" t="s">
        <v>34</v>
      </c>
      <c r="H20" t="s">
        <v>34</v>
      </c>
      <c r="I20" t="s">
        <v>34</v>
      </c>
    </row>
    <row r="21" spans="3:9" x14ac:dyDescent="0.3">
      <c r="C21" t="s">
        <v>34</v>
      </c>
      <c r="E21" t="s">
        <v>34</v>
      </c>
      <c r="F21" t="s">
        <v>34</v>
      </c>
      <c r="H21" t="s">
        <v>34</v>
      </c>
      <c r="I21" t="s">
        <v>34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H23"/>
  <sheetViews>
    <sheetView workbookViewId="0">
      <selection activeCell="F5" sqref="F5"/>
    </sheetView>
  </sheetViews>
  <sheetFormatPr defaultRowHeight="14.4" x14ac:dyDescent="0.3"/>
  <cols>
    <col min="2" max="2" width="11.21875" customWidth="1"/>
    <col min="4" max="4" width="14" customWidth="1"/>
    <col min="5" max="5" width="9.77734375" customWidth="1"/>
    <col min="6" max="6" width="9.6640625" customWidth="1"/>
  </cols>
  <sheetData>
    <row r="3" spans="2:8" x14ac:dyDescent="0.3">
      <c r="B3" t="s">
        <v>20</v>
      </c>
      <c r="C3" t="s">
        <v>3</v>
      </c>
      <c r="D3" t="s">
        <v>29</v>
      </c>
      <c r="E3" t="s">
        <v>30</v>
      </c>
      <c r="F3" t="s">
        <v>31</v>
      </c>
      <c r="H3" s="1" t="s">
        <v>20</v>
      </c>
    </row>
    <row r="4" spans="2:8" x14ac:dyDescent="0.3">
      <c r="B4" t="s">
        <v>24</v>
      </c>
      <c r="C4" t="str">
        <f>IFERROR(VLOOKUP(Table6[[#This Row],[HSN Code]],Table2[#All],3,0),"")</f>
        <v>mouse</v>
      </c>
      <c r="D4">
        <f>SUMIF(Table2[Item],Table6[[#This Row],[Item]],Table2[P Qty])</f>
        <v>20</v>
      </c>
      <c r="E4">
        <f>SUMIF(Table5[Item],Table6[[#This Row],[Item]],Table5[Qty])</f>
        <v>26</v>
      </c>
      <c r="F4">
        <f>Table6[[#This Row],[Purchase Qty]]-Table6[[#This Row],[Sale Qty]]</f>
        <v>-6</v>
      </c>
    </row>
    <row r="5" spans="2:8" x14ac:dyDescent="0.3">
      <c r="B5" t="s">
        <v>25</v>
      </c>
      <c r="C5" t="str">
        <f>IFERROR(VLOOKUP(Table6[[#This Row],[HSN Code]],Table2[#All],3,0),"")</f>
        <v>keyboard</v>
      </c>
      <c r="D5">
        <f>SUMIF(Table2[Item],Table6[[#This Row],[Item]],Table2[P Qty])</f>
        <v>20</v>
      </c>
      <c r="E5">
        <f>SUMIF(Table5[Item],Table6[[#This Row],[Item]],Table5[Qty])</f>
        <v>46</v>
      </c>
      <c r="F5">
        <f>Table6[[#This Row],[Purchase Qty]]-Table6[[#This Row],[Sale Qty]]</f>
        <v>-26</v>
      </c>
    </row>
    <row r="6" spans="2:8" x14ac:dyDescent="0.3">
      <c r="B6" t="s">
        <v>32</v>
      </c>
      <c r="C6" t="str">
        <f>IFERROR(VLOOKUP(Table6[[#This Row],[HSN Code]],Table2[#All],3,0),"")</f>
        <v>monitor</v>
      </c>
      <c r="D6">
        <f>SUMIF(Table2[Item],Table6[[#This Row],[Item]],Table2[P Qty])</f>
        <v>10</v>
      </c>
      <c r="E6">
        <f>SUMIF(Table5[Item],Table6[[#This Row],[Item]],Table5[Qty])</f>
        <v>0</v>
      </c>
      <c r="F6">
        <f>Table6[[#This Row],[Purchase Qty]]-Table6[[#This Row],[Sale Qty]]</f>
        <v>10</v>
      </c>
    </row>
    <row r="7" spans="2:8" x14ac:dyDescent="0.3">
      <c r="C7" t="str">
        <f>IFERROR(VLOOKUP(Table6[[#This Row],[HSN Code]],Table2[#All],3,0),"")</f>
        <v/>
      </c>
      <c r="D7">
        <f>SUMIF(Table2[Item],Table6[[#This Row],[Item]],Table2[P Qty])</f>
        <v>0</v>
      </c>
      <c r="E7">
        <f>SUMIF(Table5[Item],Table6[[#This Row],[Item]],Table5[Qty])</f>
        <v>0</v>
      </c>
      <c r="F7">
        <f>Table6[[#This Row],[Purchase Qty]]-Table6[[#This Row],[Sale Qty]]</f>
        <v>0</v>
      </c>
    </row>
    <row r="8" spans="2:8" x14ac:dyDescent="0.3">
      <c r="C8" t="str">
        <f>IFERROR(VLOOKUP(Table6[[#This Row],[HSN Code]],Table2[#All],3,0),"")</f>
        <v/>
      </c>
      <c r="D8">
        <f>SUMIF(Table2[Item],Table6[[#This Row],[Item]],Table2[P Qty])</f>
        <v>0</v>
      </c>
      <c r="E8">
        <f>SUMIF(Table5[Item],Table6[[#This Row],[Item]],Table5[Qty])</f>
        <v>0</v>
      </c>
      <c r="F8">
        <f>Table6[[#This Row],[Purchase Qty]]-Table6[[#This Row],[Sale Qty]]</f>
        <v>0</v>
      </c>
    </row>
    <row r="9" spans="2:8" x14ac:dyDescent="0.3">
      <c r="C9" t="str">
        <f>IFERROR(VLOOKUP(Table6[[#This Row],[HSN Code]],Table2[#All],3,0),"")</f>
        <v/>
      </c>
      <c r="D9">
        <f>SUMIF(Table2[Item],Table6[[#This Row],[Item]],Table2[P Qty])</f>
        <v>0</v>
      </c>
      <c r="E9">
        <f>SUMIF(Table5[Item],Table6[[#This Row],[Item]],Table5[Qty])</f>
        <v>0</v>
      </c>
      <c r="F9">
        <f>Table6[[#This Row],[Purchase Qty]]-Table6[[#This Row],[Sale Qty]]</f>
        <v>0</v>
      </c>
    </row>
    <row r="10" spans="2:8" x14ac:dyDescent="0.3">
      <c r="C10" t="str">
        <f>IFERROR(VLOOKUP(Table6[[#This Row],[HSN Code]],Table2[#All],3,0),"")</f>
        <v/>
      </c>
      <c r="D10">
        <f>SUMIF(Table2[Item],Table6[[#This Row],[Item]],Table2[P Qty])</f>
        <v>0</v>
      </c>
      <c r="E10">
        <f>SUMIF(Table5[Item],Table6[[#This Row],[Item]],Table5[Qty])</f>
        <v>0</v>
      </c>
      <c r="F10">
        <f>Table6[[#This Row],[Purchase Qty]]-Table6[[#This Row],[Sale Qty]]</f>
        <v>0</v>
      </c>
    </row>
    <row r="11" spans="2:8" x14ac:dyDescent="0.3">
      <c r="C11" t="str">
        <f>IFERROR(VLOOKUP(Table6[[#This Row],[HSN Code]],Table2[#All],3,0),"")</f>
        <v/>
      </c>
      <c r="D11">
        <f>SUMIF(Table2[Item],Table6[[#This Row],[Item]],Table2[P Qty])</f>
        <v>0</v>
      </c>
      <c r="E11">
        <f>SUMIF(Table5[Item],Table6[[#This Row],[Item]],Table5[Qty])</f>
        <v>0</v>
      </c>
      <c r="F11">
        <f>Table6[[#This Row],[Purchase Qty]]-Table6[[#This Row],[Sale Qty]]</f>
        <v>0</v>
      </c>
    </row>
    <row r="12" spans="2:8" x14ac:dyDescent="0.3">
      <c r="C12" t="str">
        <f>IFERROR(VLOOKUP(Table6[[#This Row],[HSN Code]],Table2[#All],3,0),"")</f>
        <v/>
      </c>
      <c r="D12">
        <f>SUMIF(Table2[Item],Table6[[#This Row],[Item]],Table2[P Qty])</f>
        <v>0</v>
      </c>
      <c r="E12">
        <f>SUMIF(Table5[Item],Table6[[#This Row],[Item]],Table5[Qty])</f>
        <v>0</v>
      </c>
      <c r="F12">
        <f>Table6[[#This Row],[Purchase Qty]]-Table6[[#This Row],[Sale Qty]]</f>
        <v>0</v>
      </c>
    </row>
    <row r="13" spans="2:8" x14ac:dyDescent="0.3">
      <c r="C13" t="str">
        <f>IFERROR(VLOOKUP(Table6[[#This Row],[HSN Code]],Table2[#All],3,0),"")</f>
        <v/>
      </c>
      <c r="D13">
        <f>SUMIF(Table2[Item],Table6[[#This Row],[Item]],Table2[P Qty])</f>
        <v>0</v>
      </c>
      <c r="E13">
        <f>SUMIF(Table5[Item],Table6[[#This Row],[Item]],Table5[Qty])</f>
        <v>0</v>
      </c>
      <c r="F13">
        <f>Table6[[#This Row],[Purchase Qty]]-Table6[[#This Row],[Sale Qty]]</f>
        <v>0</v>
      </c>
    </row>
    <row r="14" spans="2:8" x14ac:dyDescent="0.3">
      <c r="C14" t="str">
        <f>IFERROR(VLOOKUP(Table6[[#This Row],[HSN Code]],Table2[#All],3,0),"")</f>
        <v/>
      </c>
      <c r="D14">
        <f>SUMIF(Table2[Item],Table6[[#This Row],[Item]],Table2[P Qty])</f>
        <v>0</v>
      </c>
      <c r="E14">
        <f>SUMIF(Table5[Item],Table6[[#This Row],[Item]],Table5[Qty])</f>
        <v>0</v>
      </c>
      <c r="F14">
        <f>Table6[[#This Row],[Purchase Qty]]-Table6[[#This Row],[Sale Qty]]</f>
        <v>0</v>
      </c>
    </row>
    <row r="15" spans="2:8" x14ac:dyDescent="0.3">
      <c r="C15" t="str">
        <f>IFERROR(VLOOKUP(Table6[[#This Row],[HSN Code]],Table2[#All],3,0),"")</f>
        <v/>
      </c>
      <c r="D15">
        <f>SUMIF(Table2[Item],Table6[[#This Row],[Item]],Table2[P Qty])</f>
        <v>0</v>
      </c>
      <c r="E15">
        <f>SUMIF(Table5[Item],Table6[[#This Row],[Item]],Table5[Qty])</f>
        <v>0</v>
      </c>
      <c r="F15">
        <f>Table6[[#This Row],[Purchase Qty]]-Table6[[#This Row],[Sale Qty]]</f>
        <v>0</v>
      </c>
    </row>
    <row r="16" spans="2:8" x14ac:dyDescent="0.3">
      <c r="C16" t="str">
        <f>IFERROR(VLOOKUP(Table6[[#This Row],[HSN Code]],Table2[#All],3,0),"")</f>
        <v/>
      </c>
      <c r="D16">
        <f>SUMIF(Table2[Item],Table6[[#This Row],[Item]],Table2[P Qty])</f>
        <v>0</v>
      </c>
      <c r="E16">
        <f>SUMIF(Table5[Item],Table6[[#This Row],[Item]],Table5[Qty])</f>
        <v>0</v>
      </c>
      <c r="F16">
        <f>Table6[[#This Row],[Purchase Qty]]-Table6[[#This Row],[Sale Qty]]</f>
        <v>0</v>
      </c>
    </row>
    <row r="17" spans="3:6" x14ac:dyDescent="0.3">
      <c r="C17" t="str">
        <f>IFERROR(VLOOKUP(Table6[[#This Row],[HSN Code]],Table2[#All],3,0),"")</f>
        <v/>
      </c>
      <c r="D17">
        <f>SUMIF(Table2[Item],Table6[[#This Row],[Item]],Table2[P Qty])</f>
        <v>0</v>
      </c>
      <c r="E17">
        <f>SUMIF(Table5[Item],Table6[[#This Row],[Item]],Table5[Qty])</f>
        <v>0</v>
      </c>
      <c r="F17">
        <f>Table6[[#This Row],[Purchase Qty]]-Table6[[#This Row],[Sale Qty]]</f>
        <v>0</v>
      </c>
    </row>
    <row r="18" spans="3:6" x14ac:dyDescent="0.3">
      <c r="C18" t="str">
        <f>IFERROR(VLOOKUP(Table6[[#This Row],[HSN Code]],Table2[#All],3,0),"")</f>
        <v/>
      </c>
      <c r="D18">
        <f>SUMIF(Table2[Item],Table6[[#This Row],[Item]],Table2[P Qty])</f>
        <v>0</v>
      </c>
      <c r="E18">
        <f>SUMIF(Table5[Item],Table6[[#This Row],[Item]],Table5[Qty])</f>
        <v>0</v>
      </c>
      <c r="F18">
        <f>Table6[[#This Row],[Purchase Qty]]-Table6[[#This Row],[Sale Qty]]</f>
        <v>0</v>
      </c>
    </row>
    <row r="19" spans="3:6" x14ac:dyDescent="0.3">
      <c r="C19" t="str">
        <f>IFERROR(VLOOKUP(Table6[[#This Row],[HSN Code]],Table2[#All],3,0),"")</f>
        <v/>
      </c>
      <c r="D19">
        <f>SUMIF(Table2[Item],Table6[[#This Row],[Item]],Table2[P Qty])</f>
        <v>0</v>
      </c>
      <c r="E19">
        <f>SUMIF(Table5[Item],Table6[[#This Row],[Item]],Table5[Qty])</f>
        <v>0</v>
      </c>
      <c r="F19">
        <f>Table6[[#This Row],[Purchase Qty]]-Table6[[#This Row],[Sale Qty]]</f>
        <v>0</v>
      </c>
    </row>
    <row r="20" spans="3:6" x14ac:dyDescent="0.3">
      <c r="C20" t="str">
        <f>IFERROR(VLOOKUP(Table6[[#This Row],[HSN Code]],Table2[#All],3,0),"")</f>
        <v/>
      </c>
      <c r="D20">
        <f>SUMIF(Table2[Item],Table6[[#This Row],[Item]],Table2[P Qty])</f>
        <v>0</v>
      </c>
      <c r="E20">
        <f>SUMIF(Table5[Item],Table6[[#This Row],[Item]],Table5[Qty])</f>
        <v>0</v>
      </c>
      <c r="F20">
        <f>Table6[[#This Row],[Purchase Qty]]-Table6[[#This Row],[Sale Qty]]</f>
        <v>0</v>
      </c>
    </row>
    <row r="21" spans="3:6" x14ac:dyDescent="0.3">
      <c r="C21" t="str">
        <f>IFERROR(VLOOKUP(Table6[[#This Row],[HSN Code]],Table2[#All],3,0),"")</f>
        <v/>
      </c>
      <c r="D21">
        <f>SUMIF(Table2[Item],Table6[[#This Row],[Item]],Table2[P Qty])</f>
        <v>0</v>
      </c>
      <c r="E21">
        <f>SUMIF(Table5[Item],Table6[[#This Row],[Item]],Table5[Qty])</f>
        <v>0</v>
      </c>
      <c r="F21">
        <f>Table6[[#This Row],[Purchase Qty]]-Table6[[#This Row],[Sale Qty]]</f>
        <v>0</v>
      </c>
    </row>
    <row r="22" spans="3:6" x14ac:dyDescent="0.3">
      <c r="C22" t="str">
        <f>IFERROR(VLOOKUP(Table6[[#This Row],[HSN Code]],Table2[#All],3,0),"")</f>
        <v/>
      </c>
      <c r="D22">
        <f>SUMIF(Table2[Item],Table6[[#This Row],[Item]],Table2[P Qty])</f>
        <v>0</v>
      </c>
      <c r="E22">
        <f>SUMIF(Table5[Item],Table6[[#This Row],[Item]],Table5[Qty])</f>
        <v>0</v>
      </c>
      <c r="F22">
        <f>Table6[[#This Row],[Purchase Qty]]-Table6[[#This Row],[Sale Qty]]</f>
        <v>0</v>
      </c>
    </row>
    <row r="23" spans="3:6" x14ac:dyDescent="0.3">
      <c r="C23" t="str">
        <f>IFERROR(VLOOKUP(Table6[[#This Row],[HSN Code]],Table2[#All],3,0),"")</f>
        <v/>
      </c>
      <c r="D23">
        <f>SUMIF(Table2[Item],Table6[[#This Row],[Item]],Table2[P Qty])</f>
        <v>0</v>
      </c>
      <c r="E23">
        <f>SUMIF(Table5[Item],Table6[[#This Row],[Item]],Table5[Qty])</f>
        <v>0</v>
      </c>
      <c r="F23">
        <f>Table6[[#This Row],[Purchase Qty]]-Table6[[#This Row],[Sale Qty]]</f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"/>
  <sheetViews>
    <sheetView workbookViewId="0">
      <selection sqref="A1:H2"/>
    </sheetView>
  </sheetViews>
  <sheetFormatPr defaultRowHeight="14.4" x14ac:dyDescent="0.3"/>
  <sheetData>
    <row r="1" spans="1:8" x14ac:dyDescent="0.3">
      <c r="A1">
        <v>1</v>
      </c>
      <c r="B1">
        <v>2</v>
      </c>
      <c r="C1" t="s">
        <v>25</v>
      </c>
      <c r="D1" t="s">
        <v>27</v>
      </c>
      <c r="E1">
        <v>170</v>
      </c>
      <c r="F1">
        <v>44</v>
      </c>
      <c r="G1">
        <v>374</v>
      </c>
      <c r="H1">
        <v>7854</v>
      </c>
    </row>
    <row r="2" spans="1:8" x14ac:dyDescent="0.3">
      <c r="A2">
        <v>2</v>
      </c>
      <c r="B2">
        <v>2</v>
      </c>
      <c r="C2" t="s">
        <v>24</v>
      </c>
      <c r="D2" t="s">
        <v>26</v>
      </c>
      <c r="E2">
        <v>170</v>
      </c>
      <c r="F2">
        <v>23</v>
      </c>
      <c r="G2">
        <v>195.5</v>
      </c>
      <c r="H2">
        <v>4105.5</v>
      </c>
    </row>
    <row r="3" spans="1:8" x14ac:dyDescent="0.3">
      <c r="A3">
        <v>3</v>
      </c>
      <c r="B3">
        <v>2</v>
      </c>
      <c r="C3" t="s">
        <v>24</v>
      </c>
      <c r="D3" t="s">
        <v>26</v>
      </c>
      <c r="E3">
        <v>170</v>
      </c>
      <c r="F3">
        <v>4</v>
      </c>
      <c r="G3">
        <v>34</v>
      </c>
      <c r="H3">
        <v>714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Invoice</vt:lpstr>
      <vt:lpstr>Purchase</vt:lpstr>
      <vt:lpstr>Sale</vt:lpstr>
      <vt:lpstr>Stock</vt:lpstr>
      <vt:lpstr>Sheet5</vt:lpstr>
      <vt:lpstr>Stock!Criteria</vt:lpstr>
      <vt:lpstr>Stock!Extract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RAKSHITA</dc:creator>
  <cp:lastModifiedBy>RAKSHITA</cp:lastModifiedBy>
  <cp:lastPrinted>2023-02-28T18:21:13Z</cp:lastPrinted>
  <dcterms:created xsi:type="dcterms:W3CDTF">2023-02-28T16:16:54Z</dcterms:created>
  <dcterms:modified xsi:type="dcterms:W3CDTF">2023-02-28T18:25:25Z</dcterms:modified>
</cp:coreProperties>
</file>